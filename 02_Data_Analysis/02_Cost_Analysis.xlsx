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urement_Spend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Logistic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Cost_Driver_Tree" sheetId="6" state="visible" r:id="rId6"/>
    <sheet xmlns:r="http://schemas.openxmlformats.org/officeDocument/2006/relationships" name="Opportunity_Register" sheetId="7" state="visible" r:id="rId7"/>
    <sheet xmlns:r="http://schemas.openxmlformats.org/officeDocument/2006/relationships" name="Source_Register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x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366092"/>
      </patternFill>
    </fill>
    <fill>
      <patternFill patternType="solid">
        <fgColor rgb="00EBF1F7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02 | Supply Chain Cost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inlineStr">
        <is>
          <t>Create a synthetic but auditable baseline of procurement, freight and inventory costs.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Currency</t>
        </is>
      </c>
      <c r="B4" s="2" t="inlineStr">
        <is>
          <t>₹ crore unless stated otherwise.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Period</t>
        </is>
      </c>
      <c r="B5" s="2" t="inlineStr">
        <is>
          <t>FY2027 base year.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Flow</t>
        </is>
      </c>
      <c r="B6" s="2" t="inlineStr">
        <is>
          <t>Spend → supplier/category → logistics → inventory → cost drivers.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Important</t>
        </is>
      </c>
      <c r="B7" s="2" t="inlineStr">
        <is>
          <t>All transaction-level data in this workbook are synthetic case data.</t>
        </is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4" customWidth="1" min="4" max="4"/>
    <col width="19" customWidth="1" min="5" max="5"/>
    <col width="22" customWidth="1" min="6" max="6"/>
    <col width="17" customWidth="1" min="7" max="7"/>
    <col width="14" customWidth="1" min="8" max="8"/>
  </cols>
  <sheetData>
    <row r="1">
      <c r="A1" s="1" t="inlineStr">
        <is>
          <t>Procurement Spend Baseline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Supplier</t>
        </is>
      </c>
      <c r="B3" s="4" t="inlineStr">
        <is>
          <t>Category</t>
        </is>
      </c>
      <c r="C3" s="4" t="inlineStr">
        <is>
          <t>Annual Volume</t>
        </is>
      </c>
      <c r="D3" s="4" t="inlineStr">
        <is>
          <t>Unit Price ₹</t>
        </is>
      </c>
      <c r="E3" s="4" t="inlineStr">
        <is>
          <t>Spend ₹cr</t>
        </is>
      </c>
      <c r="F3" s="4" t="inlineStr">
        <is>
          <t>Supplier Share</t>
        </is>
      </c>
      <c r="G3" s="4" t="inlineStr">
        <is>
          <t>Category</t>
        </is>
      </c>
      <c r="H3" s="4" t="inlineStr">
        <is>
          <t>Savings Flag</t>
        </is>
      </c>
    </row>
    <row r="4">
      <c r="A4" s="2" t="inlineStr">
        <is>
          <t>Supplier A</t>
        </is>
      </c>
      <c r="B4" s="2" t="inlineStr">
        <is>
          <t>Steel</t>
        </is>
      </c>
      <c r="C4" s="2" t="n">
        <v>42000</v>
      </c>
      <c r="D4" s="2" t="n">
        <v>62000</v>
      </c>
      <c r="E4" s="5">
        <f>C4*D4/10000000</f>
        <v/>
      </c>
      <c r="F4" s="6">
        <f>E4/SUM($E$4:$E$13)</f>
        <v/>
      </c>
      <c r="G4" s="2" t="inlineStr">
        <is>
          <t>Direct Material</t>
        </is>
      </c>
      <c r="H4" s="2" t="inlineStr">
        <is>
          <t>High</t>
        </is>
      </c>
    </row>
    <row r="5">
      <c r="A5" s="2" t="inlineStr">
        <is>
          <t>Supplier B</t>
        </is>
      </c>
      <c r="B5" s="2" t="inlineStr">
        <is>
          <t>Steel</t>
        </is>
      </c>
      <c r="C5" s="2" t="n">
        <v>30000</v>
      </c>
      <c r="D5" s="2" t="n">
        <v>63500</v>
      </c>
      <c r="E5" s="5">
        <f>C5*D5/10000000</f>
        <v/>
      </c>
      <c r="F5" s="6">
        <f>E5/SUM($E$4:$E$13)</f>
        <v/>
      </c>
      <c r="G5" s="2" t="inlineStr">
        <is>
          <t>Direct Material</t>
        </is>
      </c>
      <c r="H5" s="2" t="inlineStr">
        <is>
          <t>High</t>
        </is>
      </c>
    </row>
    <row r="6">
      <c r="A6" s="2" t="inlineStr">
        <is>
          <t>Supplier C</t>
        </is>
      </c>
      <c r="B6" s="2" t="inlineStr">
        <is>
          <t>Aluminium</t>
        </is>
      </c>
      <c r="C6" s="2" t="n">
        <v>16000</v>
      </c>
      <c r="D6" s="2" t="n">
        <v>218000</v>
      </c>
      <c r="E6" s="5">
        <f>C6*D6/10000000</f>
        <v/>
      </c>
      <c r="F6" s="6">
        <f>E6/SUM($E$4:$E$13)</f>
        <v/>
      </c>
      <c r="G6" s="2" t="inlineStr">
        <is>
          <t>Direct Material</t>
        </is>
      </c>
      <c r="H6" s="2" t="inlineStr">
        <is>
          <t>Medium</t>
        </is>
      </c>
    </row>
    <row r="7">
      <c r="A7" s="2" t="inlineStr">
        <is>
          <t>Supplier D</t>
        </is>
      </c>
      <c r="B7" s="2" t="inlineStr">
        <is>
          <t>Plastics</t>
        </is>
      </c>
      <c r="C7" s="2" t="n">
        <v>18000</v>
      </c>
      <c r="D7" s="2" t="n">
        <v>92000</v>
      </c>
      <c r="E7" s="5">
        <f>C7*D7/10000000</f>
        <v/>
      </c>
      <c r="F7" s="6">
        <f>E7/SUM($E$4:$E$13)</f>
        <v/>
      </c>
      <c r="G7" s="2" t="inlineStr">
        <is>
          <t>Direct Material</t>
        </is>
      </c>
      <c r="H7" s="2" t="inlineStr">
        <is>
          <t>Medium</t>
        </is>
      </c>
    </row>
    <row r="8">
      <c r="A8" s="2" t="inlineStr">
        <is>
          <t>Supplier E</t>
        </is>
      </c>
      <c r="B8" s="2" t="inlineStr">
        <is>
          <t>Electronics</t>
        </is>
      </c>
      <c r="C8" s="2" t="n">
        <v>12000</v>
      </c>
      <c r="D8" s="2" t="n">
        <v>145000</v>
      </c>
      <c r="E8" s="5">
        <f>C8*D8/10000000</f>
        <v/>
      </c>
      <c r="F8" s="6">
        <f>E8/SUM($E$4:$E$13)</f>
        <v/>
      </c>
      <c r="G8" s="2" t="inlineStr">
        <is>
          <t>Direct Material</t>
        </is>
      </c>
      <c r="H8" s="2" t="inlineStr">
        <is>
          <t>High</t>
        </is>
      </c>
    </row>
    <row r="9">
      <c r="A9" s="2" t="inlineStr">
        <is>
          <t>Supplier F</t>
        </is>
      </c>
      <c r="B9" s="2" t="inlineStr">
        <is>
          <t>Fasteners</t>
        </is>
      </c>
      <c r="C9" s="2" t="n">
        <v>28000</v>
      </c>
      <c r="D9" s="2" t="n">
        <v>28000</v>
      </c>
      <c r="E9" s="5">
        <f>C9*D9/10000000</f>
        <v/>
      </c>
      <c r="F9" s="6">
        <f>E9/SUM($E$4:$E$13)</f>
        <v/>
      </c>
      <c r="G9" s="2" t="inlineStr">
        <is>
          <t>Direct Material</t>
        </is>
      </c>
      <c r="H9" s="2" t="inlineStr">
        <is>
          <t>Medium</t>
        </is>
      </c>
    </row>
    <row r="10">
      <c r="A10" s="2" t="inlineStr">
        <is>
          <t>Supplier G</t>
        </is>
      </c>
      <c r="B10" s="2" t="inlineStr">
        <is>
          <t>Packaging</t>
        </is>
      </c>
      <c r="C10" s="2" t="n">
        <v>22000</v>
      </c>
      <c r="D10" s="2" t="n">
        <v>18000</v>
      </c>
      <c r="E10" s="5">
        <f>C10*D10/10000000</f>
        <v/>
      </c>
      <c r="F10" s="6">
        <f>E10/SUM($E$4:$E$13)</f>
        <v/>
      </c>
      <c r="G10" s="2" t="inlineStr">
        <is>
          <t>Indirect</t>
        </is>
      </c>
      <c r="H10" s="2" t="inlineStr">
        <is>
          <t>Low</t>
        </is>
      </c>
    </row>
    <row r="11">
      <c r="A11" s="2" t="inlineStr">
        <is>
          <t>Supplier H</t>
        </is>
      </c>
      <c r="B11" s="2" t="inlineStr">
        <is>
          <t>Chemicals</t>
        </is>
      </c>
      <c r="C11" s="2" t="n">
        <v>9000</v>
      </c>
      <c r="D11" s="2" t="n">
        <v>115000</v>
      </c>
      <c r="E11" s="5">
        <f>C11*D11/10000000</f>
        <v/>
      </c>
      <c r="F11" s="6">
        <f>E11/SUM($E$4:$E$13)</f>
        <v/>
      </c>
      <c r="G11" s="2" t="inlineStr">
        <is>
          <t>Direct Material</t>
        </is>
      </c>
      <c r="H11" s="2" t="inlineStr">
        <is>
          <t>Medium</t>
        </is>
      </c>
    </row>
    <row r="12">
      <c r="A12" s="2" t="inlineStr">
        <is>
          <t>Supplier I</t>
        </is>
      </c>
      <c r="B12" s="2" t="inlineStr">
        <is>
          <t>Rubber</t>
        </is>
      </c>
      <c r="C12" s="2" t="n">
        <v>11000</v>
      </c>
      <c r="D12" s="2" t="n">
        <v>88000</v>
      </c>
      <c r="E12" s="5">
        <f>C12*D12/10000000</f>
        <v/>
      </c>
      <c r="F12" s="6">
        <f>E12/SUM($E$4:$E$13)</f>
        <v/>
      </c>
      <c r="G12" s="2" t="inlineStr">
        <is>
          <t>Direct Material</t>
        </is>
      </c>
      <c r="H12" s="2" t="inlineStr">
        <is>
          <t>Medium</t>
        </is>
      </c>
    </row>
    <row r="13">
      <c r="A13" s="2" t="inlineStr">
        <is>
          <t>Supplier J</t>
        </is>
      </c>
      <c r="B13" s="2" t="inlineStr">
        <is>
          <t>Other</t>
        </is>
      </c>
      <c r="C13" s="2" t="n">
        <v>10000</v>
      </c>
      <c r="D13" s="2" t="n">
        <v>55000</v>
      </c>
      <c r="E13" s="5">
        <f>C13*D13/10000000</f>
        <v/>
      </c>
      <c r="F13" s="6">
        <f>E13/SUM($E$4:$E$13)</f>
        <v/>
      </c>
      <c r="G13" s="2" t="inlineStr">
        <is>
          <t>Indirect</t>
        </is>
      </c>
      <c r="H13" s="2" t="inlineStr">
        <is>
          <t>Low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7" t="inlineStr">
        <is>
          <t>TOTAL</t>
        </is>
      </c>
      <c r="B15" s="7" t="n"/>
      <c r="C15" s="7" t="n"/>
      <c r="D15" s="7" t="n"/>
      <c r="E15" s="7">
        <f>SUM(E4:E13)</f>
        <v/>
      </c>
      <c r="F15" s="7">
        <f>SUM(F4:F13)</f>
        <v/>
      </c>
      <c r="G15" s="7" t="n"/>
      <c r="H15" s="7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Category Spend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Category</t>
        </is>
      </c>
      <c r="B3" s="4" t="inlineStr">
        <is>
          <t>Spend ₹cr</t>
        </is>
      </c>
      <c r="C3" s="4" t="inlineStr">
        <is>
          <t>Share</t>
        </is>
      </c>
      <c r="D3" s="4" t="inlineStr">
        <is>
          <t>Supplier Count</t>
        </is>
      </c>
      <c r="E3" s="4" t="inlineStr">
        <is>
          <t>Savings Focus</t>
        </is>
      </c>
      <c r="F3" s="2" t="n"/>
      <c r="G3" s="2" t="n"/>
      <c r="H3" s="2" t="n"/>
    </row>
    <row r="4">
      <c r="A4" s="2" t="inlineStr">
        <is>
          <t>Steel</t>
        </is>
      </c>
      <c r="B4" s="2">
        <f>SUMIF(Procurement_Spend!B4:B13,A4,Procurement_Spend!E4:E13)</f>
        <v/>
      </c>
      <c r="C4" s="6">
        <f>B4/Procurement_Spend!E15</f>
        <v/>
      </c>
      <c r="D4" s="2">
        <f>COUNTIF(Procurement_Spend!B4:B13,A4)</f>
        <v/>
      </c>
      <c r="E4" s="2" t="inlineStr">
        <is>
          <t>High</t>
        </is>
      </c>
      <c r="F4" s="2" t="n"/>
      <c r="G4" s="2" t="n"/>
      <c r="H4" s="2" t="n"/>
    </row>
    <row r="5">
      <c r="A5" s="2" t="inlineStr">
        <is>
          <t>Aluminium</t>
        </is>
      </c>
      <c r="B5" s="2">
        <f>SUMIF(Procurement_Spend!B4:B13,A5,Procurement_Spend!E4:E13)</f>
        <v/>
      </c>
      <c r="C5" s="6">
        <f>B5/Procurement_Spend!E15</f>
        <v/>
      </c>
      <c r="D5" s="2">
        <f>COUNTIF(Procurement_Spend!B4:B13,A5)</f>
        <v/>
      </c>
      <c r="E5" s="2" t="inlineStr">
        <is>
          <t>Medium</t>
        </is>
      </c>
      <c r="F5" s="2" t="n"/>
      <c r="G5" s="2" t="n"/>
      <c r="H5" s="2" t="n"/>
    </row>
    <row r="6">
      <c r="A6" s="2" t="inlineStr">
        <is>
          <t>Plastics</t>
        </is>
      </c>
      <c r="B6" s="2">
        <f>SUMIF(Procurement_Spend!B4:B13,A6,Procurement_Spend!E4:E13)</f>
        <v/>
      </c>
      <c r="C6" s="6">
        <f>B6/Procurement_Spend!E15</f>
        <v/>
      </c>
      <c r="D6" s="2">
        <f>COUNTIF(Procurement_Spend!B4:B13,A6)</f>
        <v/>
      </c>
      <c r="E6" s="2" t="inlineStr">
        <is>
          <t>Medium</t>
        </is>
      </c>
      <c r="F6" s="2" t="n"/>
      <c r="G6" s="2" t="n"/>
      <c r="H6" s="2" t="n"/>
    </row>
    <row r="7">
      <c r="A7" s="2" t="inlineStr">
        <is>
          <t>Electronics</t>
        </is>
      </c>
      <c r="B7" s="2">
        <f>SUMIF(Procurement_Spend!B4:B13,A7,Procurement_Spend!E4:E13)</f>
        <v/>
      </c>
      <c r="C7" s="6">
        <f>B7/Procurement_Spend!E15</f>
        <v/>
      </c>
      <c r="D7" s="2">
        <f>COUNTIF(Procurement_Spend!B4:B13,A7)</f>
        <v/>
      </c>
      <c r="E7" s="2" t="inlineStr">
        <is>
          <t>High</t>
        </is>
      </c>
      <c r="F7" s="2" t="n"/>
      <c r="G7" s="2" t="n"/>
      <c r="H7" s="2" t="n"/>
    </row>
    <row r="8">
      <c r="A8" s="2" t="inlineStr">
        <is>
          <t>Fasteners</t>
        </is>
      </c>
      <c r="B8" s="2">
        <f>SUMIF(Procurement_Spend!B4:B13,A8,Procurement_Spend!E4:E13)</f>
        <v/>
      </c>
      <c r="C8" s="6">
        <f>B8/Procurement_Spend!E15</f>
        <v/>
      </c>
      <c r="D8" s="2">
        <f>COUNTIF(Procurement_Spend!B4:B13,A8)</f>
        <v/>
      </c>
      <c r="E8" s="2" t="inlineStr">
        <is>
          <t>Medium</t>
        </is>
      </c>
      <c r="F8" s="2" t="n"/>
      <c r="G8" s="2" t="n"/>
      <c r="H8" s="2" t="n"/>
    </row>
    <row r="9">
      <c r="A9" s="2" t="inlineStr">
        <is>
          <t>Packaging</t>
        </is>
      </c>
      <c r="B9" s="2">
        <f>SUMIF(Procurement_Spend!B4:B13,A9,Procurement_Spend!E4:E13)</f>
        <v/>
      </c>
      <c r="C9" s="6">
        <f>B9/Procurement_Spend!E15</f>
        <v/>
      </c>
      <c r="D9" s="2">
        <f>COUNTIF(Procurement_Spend!B4:B13,A9)</f>
        <v/>
      </c>
      <c r="E9" s="2" t="inlineStr">
        <is>
          <t>Medium</t>
        </is>
      </c>
      <c r="F9" s="2" t="n"/>
      <c r="G9" s="2" t="n"/>
      <c r="H9" s="2" t="n"/>
    </row>
    <row r="10">
      <c r="A10" s="2" t="inlineStr">
        <is>
          <t>Chemicals</t>
        </is>
      </c>
      <c r="B10" s="2">
        <f>SUMIF(Procurement_Spend!B4:B13,A10,Procurement_Spend!E4:E13)</f>
        <v/>
      </c>
      <c r="C10" s="6">
        <f>B10/Procurement_Spend!E15</f>
        <v/>
      </c>
      <c r="D10" s="2">
        <f>COUNTIF(Procurement_Spend!B4:B13,A10)</f>
        <v/>
      </c>
      <c r="E10" s="2" t="inlineStr">
        <is>
          <t>Medium</t>
        </is>
      </c>
      <c r="F10" s="2" t="n"/>
      <c r="G10" s="2" t="n"/>
      <c r="H10" s="2" t="n"/>
    </row>
    <row r="11">
      <c r="A11" s="2" t="inlineStr">
        <is>
          <t>Rubber</t>
        </is>
      </c>
      <c r="B11" s="2">
        <f>SUMIF(Procurement_Spend!B4:B13,A11,Procurement_Spend!E4:E13)</f>
        <v/>
      </c>
      <c r="C11" s="6">
        <f>B11/Procurement_Spend!E15</f>
        <v/>
      </c>
      <c r="D11" s="2">
        <f>COUNTIF(Procurement_Spend!B4:B13,A11)</f>
        <v/>
      </c>
      <c r="E11" s="2" t="inlineStr">
        <is>
          <t>Medium</t>
        </is>
      </c>
      <c r="F11" s="2" t="n"/>
      <c r="G11" s="2" t="n"/>
      <c r="H11" s="2" t="n"/>
    </row>
    <row r="12">
      <c r="A12" s="2" t="inlineStr">
        <is>
          <t>Other</t>
        </is>
      </c>
      <c r="B12" s="2">
        <f>SUMIF(Procurement_Spend!B4:B13,A12,Procurement_Spend!E4:E13)</f>
        <v/>
      </c>
      <c r="C12" s="6">
        <f>B12/Procurement_Spend!E15</f>
        <v/>
      </c>
      <c r="D12" s="2">
        <f>COUNTIF(Procurement_Spend!B4:B13,A12)</f>
        <v/>
      </c>
      <c r="E12" s="2" t="inlineStr">
        <is>
          <t>Medium</t>
        </is>
      </c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TOTAL</t>
        </is>
      </c>
      <c r="B14" s="3">
        <f>SUM(B4:B12)</f>
        <v/>
      </c>
      <c r="C14" s="3">
        <f>SUM(C4:C12)</f>
        <v/>
      </c>
      <c r="D14" s="3" t="n"/>
      <c r="E14" s="3" t="n"/>
      <c r="F14" s="2" t="n"/>
      <c r="G14" s="2" t="n"/>
      <c r="H14" s="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26" customWidth="1" min="4" max="4"/>
    <col width="18" customWidth="1" min="5" max="5"/>
    <col width="17" customWidth="1" min="6" max="6"/>
    <col width="24" customWidth="1" min="7" max="7"/>
    <col width="12" customWidth="1" min="8" max="8"/>
  </cols>
  <sheetData>
    <row r="1">
      <c r="A1" s="1" t="inlineStr">
        <is>
          <t>Inbound Logistics Cost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Lane</t>
        </is>
      </c>
      <c r="B3" s="4" t="inlineStr">
        <is>
          <t>Mode</t>
        </is>
      </c>
      <c r="C3" s="4" t="inlineStr">
        <is>
          <t>Annual Shipments</t>
        </is>
      </c>
      <c r="D3" s="4" t="inlineStr">
        <is>
          <t>Avg Freight / Shipment ₹</t>
        </is>
      </c>
      <c r="E3" s="4" t="inlineStr">
        <is>
          <t>Freight Cost ₹cr</t>
        </is>
      </c>
      <c r="F3" s="4" t="inlineStr">
        <is>
          <t>Cost / Unit ₹</t>
        </is>
      </c>
      <c r="G3" s="4" t="inlineStr">
        <is>
          <t>Optimization Potential</t>
        </is>
      </c>
      <c r="H3" s="2" t="n"/>
    </row>
    <row r="4">
      <c r="A4" s="2" t="inlineStr">
        <is>
          <t>North → Plant</t>
        </is>
      </c>
      <c r="B4" s="2" t="inlineStr">
        <is>
          <t>Road</t>
        </is>
      </c>
      <c r="C4" s="2" t="n">
        <v>900</v>
      </c>
      <c r="D4" s="2" t="n">
        <v>68000</v>
      </c>
      <c r="E4" s="5">
        <f>C4*D4/10000000</f>
        <v/>
      </c>
      <c r="F4" s="2">
        <f>E4/C4*10000000</f>
        <v/>
      </c>
      <c r="G4" s="2" t="inlineStr">
        <is>
          <t>High</t>
        </is>
      </c>
      <c r="H4" s="2" t="n"/>
    </row>
    <row r="5">
      <c r="A5" s="2" t="inlineStr">
        <is>
          <t>West → Plant</t>
        </is>
      </c>
      <c r="B5" s="2" t="inlineStr">
        <is>
          <t>Road</t>
        </is>
      </c>
      <c r="C5" s="2" t="n">
        <v>700</v>
      </c>
      <c r="D5" s="2" t="n">
        <v>82000</v>
      </c>
      <c r="E5" s="5">
        <f>C5*D5/10000000</f>
        <v/>
      </c>
      <c r="F5" s="2">
        <f>E5/C5*10000000</f>
        <v/>
      </c>
      <c r="G5" s="2" t="inlineStr">
        <is>
          <t>High</t>
        </is>
      </c>
      <c r="H5" s="2" t="n"/>
    </row>
    <row r="6">
      <c r="A6" s="2" t="inlineStr">
        <is>
          <t>South → Plant</t>
        </is>
      </c>
      <c r="B6" s="2" t="inlineStr">
        <is>
          <t>Road</t>
        </is>
      </c>
      <c r="C6" s="2" t="n">
        <v>650</v>
      </c>
      <c r="D6" s="2" t="n">
        <v>54000</v>
      </c>
      <c r="E6" s="5">
        <f>C6*D6/10000000</f>
        <v/>
      </c>
      <c r="F6" s="2">
        <f>E6/C6*10000000</f>
        <v/>
      </c>
      <c r="G6" s="2" t="inlineStr">
        <is>
          <t>Medium</t>
        </is>
      </c>
      <c r="H6" s="2" t="n"/>
    </row>
    <row r="7">
      <c r="A7" s="2" t="inlineStr">
        <is>
          <t>Port → Plant</t>
        </is>
      </c>
      <c r="B7" s="2" t="inlineStr">
        <is>
          <t>Road</t>
        </is>
      </c>
      <c r="C7" s="2" t="n">
        <v>420</v>
      </c>
      <c r="D7" s="2" t="n">
        <v>115000</v>
      </c>
      <c r="E7" s="5">
        <f>C7*D7/10000000</f>
        <v/>
      </c>
      <c r="F7" s="2">
        <f>E7/C7*10000000</f>
        <v/>
      </c>
      <c r="G7" s="2" t="inlineStr">
        <is>
          <t>High</t>
        </is>
      </c>
      <c r="H7" s="2" t="n"/>
    </row>
    <row r="8">
      <c r="A8" s="2" t="inlineStr">
        <is>
          <t>Local suppliers</t>
        </is>
      </c>
      <c r="B8" s="2" t="inlineStr">
        <is>
          <t>Road</t>
        </is>
      </c>
      <c r="C8" s="2" t="n">
        <v>1200</v>
      </c>
      <c r="D8" s="2" t="n">
        <v>18000</v>
      </c>
      <c r="E8" s="5">
        <f>C8*D8/10000000</f>
        <v/>
      </c>
      <c r="F8" s="2">
        <f>E8/C8*10000000</f>
        <v/>
      </c>
      <c r="G8" s="2" t="inlineStr">
        <is>
          <t>Medium</t>
        </is>
      </c>
      <c r="H8" s="2" t="n"/>
    </row>
    <row r="9">
      <c r="A9" s="2" t="inlineStr">
        <is>
          <t>Interstate</t>
        </is>
      </c>
      <c r="B9" s="2" t="inlineStr">
        <is>
          <t>Rail</t>
        </is>
      </c>
      <c r="C9" s="2" t="n">
        <v>180</v>
      </c>
      <c r="D9" s="2" t="n">
        <v>145000</v>
      </c>
      <c r="E9" s="5">
        <f>C9*D9/10000000</f>
        <v/>
      </c>
      <c r="F9" s="2">
        <f>E9/C9*10000000</f>
        <v/>
      </c>
      <c r="G9" s="2" t="inlineStr">
        <is>
          <t>Medium</t>
        </is>
      </c>
      <c r="H9" s="2" t="n"/>
    </row>
    <row r="10">
      <c r="A10" s="7" t="inlineStr">
        <is>
          <t>TOTAL</t>
        </is>
      </c>
      <c r="B10" s="7" t="n"/>
      <c r="C10" s="7" t="n"/>
      <c r="D10" s="7" t="n"/>
      <c r="E10" s="7">
        <f>SUM(E4:E9)</f>
        <v/>
      </c>
      <c r="F10" s="7" t="n"/>
      <c r="G10" s="7" t="n"/>
      <c r="H10" s="2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4" customWidth="1" min="3" max="3"/>
    <col width="17" customWidth="1" min="4" max="4"/>
    <col width="17" customWidth="1" min="5" max="5"/>
    <col width="26" customWidth="1" min="6" max="6"/>
    <col width="13" customWidth="1" min="7" max="7"/>
    <col width="12" customWidth="1" min="8" max="8"/>
  </cols>
  <sheetData>
    <row r="1">
      <c r="A1" s="1" t="inlineStr">
        <is>
          <t>Inventory Cost Baseline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Category</t>
        </is>
      </c>
      <c r="B3" s="4" t="inlineStr">
        <is>
          <t>Average Inventory ₹cr</t>
        </is>
      </c>
      <c r="C3" s="4" t="inlineStr">
        <is>
          <t>Annual Consumption ₹cr</t>
        </is>
      </c>
      <c r="D3" s="4" t="inlineStr">
        <is>
          <t>Inventory Turns</t>
        </is>
      </c>
      <c r="E3" s="4" t="inlineStr">
        <is>
          <t>Carrying Cost %</t>
        </is>
      </c>
      <c r="F3" s="4" t="inlineStr">
        <is>
          <t>Annual Carrying Cost ₹cr</t>
        </is>
      </c>
      <c r="G3" s="4" t="inlineStr">
        <is>
          <t>Opportunity</t>
        </is>
      </c>
      <c r="H3" s="2" t="n"/>
    </row>
    <row r="4">
      <c r="A4" s="2" t="inlineStr">
        <is>
          <t>Steel</t>
        </is>
      </c>
      <c r="B4" s="2" t="n">
        <v>115</v>
      </c>
      <c r="C4" s="2" t="n">
        <v>900</v>
      </c>
      <c r="D4" s="8">
        <f>C4/B4</f>
        <v/>
      </c>
      <c r="E4" s="9" t="n">
        <v>18</v>
      </c>
      <c r="F4" s="5">
        <f>B4*E4</f>
        <v/>
      </c>
      <c r="G4" s="2" t="inlineStr">
        <is>
          <t>High</t>
        </is>
      </c>
      <c r="H4" s="2" t="n"/>
    </row>
    <row r="5">
      <c r="A5" s="2" t="inlineStr">
        <is>
          <t>Aluminium</t>
        </is>
      </c>
      <c r="B5" s="2" t="n">
        <v>85</v>
      </c>
      <c r="C5" s="2" t="n">
        <v>650</v>
      </c>
      <c r="D5" s="8">
        <f>C5/B5</f>
        <v/>
      </c>
      <c r="E5" s="9" t="n">
        <v>18</v>
      </c>
      <c r="F5" s="5">
        <f>B5*E5</f>
        <v/>
      </c>
      <c r="G5" s="2" t="inlineStr">
        <is>
          <t>Medium</t>
        </is>
      </c>
      <c r="H5" s="2" t="n"/>
    </row>
    <row r="6">
      <c r="A6" s="2" t="inlineStr">
        <is>
          <t>Plastics</t>
        </is>
      </c>
      <c r="B6" s="2" t="n">
        <v>55</v>
      </c>
      <c r="C6" s="2" t="n">
        <v>420</v>
      </c>
      <c r="D6" s="8">
        <f>C6/B6</f>
        <v/>
      </c>
      <c r="E6" s="9" t="n">
        <v>18</v>
      </c>
      <c r="F6" s="5">
        <f>B6*E6</f>
        <v/>
      </c>
      <c r="G6" s="2" t="inlineStr">
        <is>
          <t>Medium</t>
        </is>
      </c>
      <c r="H6" s="2" t="n"/>
    </row>
    <row r="7">
      <c r="A7" s="2" t="inlineStr">
        <is>
          <t>Electronics</t>
        </is>
      </c>
      <c r="B7" s="2" t="n">
        <v>95</v>
      </c>
      <c r="C7" s="2" t="n">
        <v>580</v>
      </c>
      <c r="D7" s="8">
        <f>C7/B7</f>
        <v/>
      </c>
      <c r="E7" s="9" t="n">
        <v>20</v>
      </c>
      <c r="F7" s="5">
        <f>B7*E7</f>
        <v/>
      </c>
      <c r="G7" s="2" t="inlineStr">
        <is>
          <t>High</t>
        </is>
      </c>
      <c r="H7" s="2" t="n"/>
    </row>
    <row r="8">
      <c r="A8" s="2" t="inlineStr">
        <is>
          <t>Fasteners</t>
        </is>
      </c>
      <c r="B8" s="2" t="n">
        <v>42</v>
      </c>
      <c r="C8" s="2" t="n">
        <v>240</v>
      </c>
      <c r="D8" s="8">
        <f>C8/B8</f>
        <v/>
      </c>
      <c r="E8" s="9" t="n">
        <v>18</v>
      </c>
      <c r="F8" s="5">
        <f>B8*E8</f>
        <v/>
      </c>
      <c r="G8" s="2" t="inlineStr">
        <is>
          <t>Medium</t>
        </is>
      </c>
      <c r="H8" s="2" t="n"/>
    </row>
    <row r="9">
      <c r="A9" s="2" t="inlineStr">
        <is>
          <t>Packaging</t>
        </is>
      </c>
      <c r="B9" s="2" t="n">
        <v>25</v>
      </c>
      <c r="C9" s="2" t="n">
        <v>110</v>
      </c>
      <c r="D9" s="8">
        <f>C9/B9</f>
        <v/>
      </c>
      <c r="E9" s="9" t="n">
        <v>15</v>
      </c>
      <c r="F9" s="5">
        <f>B9*E9</f>
        <v/>
      </c>
      <c r="G9" s="2" t="inlineStr">
        <is>
          <t>Low</t>
        </is>
      </c>
      <c r="H9" s="2" t="n"/>
    </row>
    <row r="10">
      <c r="A10" s="2" t="inlineStr">
        <is>
          <t>Chemicals</t>
        </is>
      </c>
      <c r="B10" s="2" t="n">
        <v>38</v>
      </c>
      <c r="C10" s="2" t="n">
        <v>210</v>
      </c>
      <c r="D10" s="8">
        <f>C10/B10</f>
        <v/>
      </c>
      <c r="E10" s="9" t="n">
        <v>18</v>
      </c>
      <c r="F10" s="5">
        <f>B10*E10</f>
        <v/>
      </c>
      <c r="G10" s="2" t="inlineStr">
        <is>
          <t>Medium</t>
        </is>
      </c>
      <c r="H10" s="2" t="n"/>
    </row>
    <row r="11">
      <c r="A11" s="2" t="inlineStr">
        <is>
          <t>Rubber</t>
        </is>
      </c>
      <c r="B11" s="2" t="n">
        <v>35</v>
      </c>
      <c r="C11" s="2" t="n">
        <v>180</v>
      </c>
      <c r="D11" s="8">
        <f>C11/B11</f>
        <v/>
      </c>
      <c r="E11" s="9" t="n">
        <v>18</v>
      </c>
      <c r="F11" s="5">
        <f>B11*E11</f>
        <v/>
      </c>
      <c r="G11" s="2" t="inlineStr">
        <is>
          <t>Medium</t>
        </is>
      </c>
      <c r="H11" s="2" t="n"/>
    </row>
    <row r="12">
      <c r="A12" s="3" t="inlineStr">
        <is>
          <t>TOTAL</t>
        </is>
      </c>
      <c r="B12" s="3">
        <f>SUM(B4:B11)</f>
        <v/>
      </c>
      <c r="C12" s="3" t="n"/>
      <c r="D12" s="3" t="n"/>
      <c r="E12" s="3" t="n"/>
      <c r="F12" s="3">
        <f>SUM(F4:F11)</f>
        <v/>
      </c>
      <c r="G12" s="3" t="n"/>
      <c r="H12" s="2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0" customWidth="1" min="3" max="3"/>
    <col width="27" customWidth="1" min="4" max="4"/>
    <col width="3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Supply Chain Cost Driver Tree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Cost Pool</t>
        </is>
      </c>
      <c r="B3" s="4" t="inlineStr">
        <is>
          <t>Base Cost ₹cr</t>
        </is>
      </c>
      <c r="C3" s="4" t="inlineStr">
        <is>
          <t>Share</t>
        </is>
      </c>
      <c r="D3" s="4" t="inlineStr">
        <is>
          <t>Primary Driver</t>
        </is>
      </c>
      <c r="E3" s="4" t="inlineStr">
        <is>
          <t>Diagnostic Question</t>
        </is>
      </c>
      <c r="F3" s="2" t="n"/>
      <c r="G3" s="2" t="n"/>
      <c r="H3" s="2" t="n"/>
    </row>
    <row r="4">
      <c r="A4" s="2" t="inlineStr">
        <is>
          <t>Procurement</t>
        </is>
      </c>
      <c r="B4" s="2">
        <f>Procurement_Spend!E15</f>
        <v/>
      </c>
      <c r="C4" s="6">
        <f>B4/SUM($B$4:$B$6)</f>
        <v/>
      </c>
      <c r="D4" s="2" t="inlineStr">
        <is>
          <t>Price × volume</t>
        </is>
      </c>
      <c r="E4" s="2" t="inlineStr">
        <is>
          <t>Which categories/suppliers are above benchmark?</t>
        </is>
      </c>
      <c r="F4" s="2" t="n"/>
      <c r="G4" s="2" t="n"/>
      <c r="H4" s="2" t="n"/>
    </row>
    <row r="5">
      <c r="A5" s="2" t="inlineStr">
        <is>
          <t>Freight</t>
        </is>
      </c>
      <c r="B5" s="2">
        <f>Logistics!E10</f>
        <v/>
      </c>
      <c r="C5" s="6">
        <f>B5/SUM($B$4:$B$6)</f>
        <v/>
      </c>
      <c r="D5" s="2" t="inlineStr">
        <is>
          <t>Rate × shipment</t>
        </is>
      </c>
      <c r="E5" s="2" t="inlineStr">
        <is>
          <t>Which lanes/modes are structurally expensive?</t>
        </is>
      </c>
      <c r="F5" s="2" t="n"/>
      <c r="G5" s="2" t="n"/>
      <c r="H5" s="2" t="n"/>
    </row>
    <row r="6">
      <c r="A6" s="2" t="inlineStr">
        <is>
          <t>Inventory Carrying</t>
        </is>
      </c>
      <c r="B6" s="2">
        <f>Inventory!F12</f>
        <v/>
      </c>
      <c r="C6" s="6">
        <f>B6/SUM($B$4:$B$6)</f>
        <v/>
      </c>
      <c r="D6" s="2" t="inlineStr">
        <is>
          <t>Inventory × carrying rate</t>
        </is>
      </c>
      <c r="E6" s="2" t="inlineStr">
        <is>
          <t>Where are turns below target?</t>
        </is>
      </c>
      <c r="F6" s="2" t="n"/>
      <c r="G6" s="2" t="n"/>
      <c r="H6" s="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29" customWidth="1" min="4" max="4"/>
    <col width="23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Initial Savings Opportunity Register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ID</t>
        </is>
      </c>
      <c r="B3" s="4" t="inlineStr">
        <is>
          <t>Opportunity</t>
        </is>
      </c>
      <c r="C3" s="4" t="inlineStr">
        <is>
          <t>Cost Pool</t>
        </is>
      </c>
      <c r="D3" s="4" t="inlineStr">
        <is>
          <t>Estimated Gross Savings ₹cr</t>
        </is>
      </c>
      <c r="E3" s="4" t="inlineStr">
        <is>
          <t>Implementation Effort</t>
        </is>
      </c>
      <c r="F3" s="4" t="inlineStr">
        <is>
          <t>Timing</t>
        </is>
      </c>
      <c r="G3" s="4" t="inlineStr">
        <is>
          <t>Confidence</t>
        </is>
      </c>
      <c r="H3" s="4" t="inlineStr">
        <is>
          <t>Next Action</t>
        </is>
      </c>
    </row>
    <row r="4">
      <c r="A4" s="2" t="inlineStr">
        <is>
          <t>O01</t>
        </is>
      </c>
      <c r="B4" s="2" t="inlineStr">
        <is>
          <t>Steel supplier negotiation</t>
        </is>
      </c>
      <c r="C4" s="2" t="inlineStr">
        <is>
          <t>Procurement</t>
        </is>
      </c>
      <c r="D4" s="5" t="n">
        <v>18</v>
      </c>
      <c r="E4" s="2" t="inlineStr">
        <is>
          <t>Medium</t>
        </is>
      </c>
      <c r="F4" s="2" t="inlineStr">
        <is>
          <t>0–3 months</t>
        </is>
      </c>
      <c r="G4" s="2" t="inlineStr">
        <is>
          <t>Medium</t>
        </is>
      </c>
      <c r="H4" s="2" t="inlineStr">
        <is>
          <t>Benchmark price and run sourcing event</t>
        </is>
      </c>
    </row>
    <row r="5">
      <c r="A5" s="2" t="inlineStr">
        <is>
          <t>O02</t>
        </is>
      </c>
      <c r="B5" s="2" t="inlineStr">
        <is>
          <t>Electronics sourcing / supplier competition</t>
        </is>
      </c>
      <c r="C5" s="2" t="inlineStr">
        <is>
          <t>Procurement</t>
        </is>
      </c>
      <c r="D5" s="5" t="n">
        <v>12</v>
      </c>
      <c r="E5" s="2" t="inlineStr">
        <is>
          <t>High</t>
        </is>
      </c>
      <c r="F5" s="2" t="inlineStr">
        <is>
          <t>3–6 months</t>
        </is>
      </c>
      <c r="G5" s="2" t="inlineStr">
        <is>
          <t>Low–Medium</t>
        </is>
      </c>
      <c r="H5" s="2" t="inlineStr">
        <is>
          <t>Validate specifications and alternate suppliers</t>
        </is>
      </c>
    </row>
    <row r="6">
      <c r="A6" s="2" t="inlineStr">
        <is>
          <t>O03</t>
        </is>
      </c>
      <c r="B6" s="2" t="inlineStr">
        <is>
          <t>Freight lane consolidation</t>
        </is>
      </c>
      <c r="C6" s="2" t="inlineStr">
        <is>
          <t>Logistics</t>
        </is>
      </c>
      <c r="D6" s="5" t="n">
        <v>8</v>
      </c>
      <c r="E6" s="2" t="inlineStr">
        <is>
          <t>Medium</t>
        </is>
      </c>
      <c r="F6" s="2" t="inlineStr">
        <is>
          <t>0–3 months</t>
        </is>
      </c>
      <c r="G6" s="2" t="inlineStr">
        <is>
          <t>Medium</t>
        </is>
      </c>
      <c r="H6" s="2" t="inlineStr">
        <is>
          <t>Tender priority lanes</t>
        </is>
      </c>
    </row>
    <row r="7">
      <c r="A7" s="2" t="inlineStr">
        <is>
          <t>O04</t>
        </is>
      </c>
      <c r="B7" s="2" t="inlineStr">
        <is>
          <t>Mode optimization</t>
        </is>
      </c>
      <c r="C7" s="2" t="inlineStr">
        <is>
          <t>Logistics</t>
        </is>
      </c>
      <c r="D7" s="5" t="n">
        <v>5</v>
      </c>
      <c r="E7" s="2" t="inlineStr">
        <is>
          <t>Medium</t>
        </is>
      </c>
      <c r="F7" s="2" t="inlineStr">
        <is>
          <t>3–6 months</t>
        </is>
      </c>
      <c r="G7" s="2" t="inlineStr">
        <is>
          <t>Low–Medium</t>
        </is>
      </c>
      <c r="H7" s="2" t="inlineStr">
        <is>
          <t>Validate service-level feasibility</t>
        </is>
      </c>
    </row>
    <row r="8">
      <c r="A8" s="2" t="inlineStr">
        <is>
          <t>O05</t>
        </is>
      </c>
      <c r="B8" s="2" t="inlineStr">
        <is>
          <t>Inventory parameter reset</t>
        </is>
      </c>
      <c r="C8" s="2" t="inlineStr">
        <is>
          <t>Inventory</t>
        </is>
      </c>
      <c r="D8" s="5" t="n">
        <v>10</v>
      </c>
      <c r="E8" s="2" t="inlineStr">
        <is>
          <t>Medium</t>
        </is>
      </c>
      <c r="F8" s="2" t="inlineStr">
        <is>
          <t>0–6 months</t>
        </is>
      </c>
      <c r="G8" s="2" t="inlineStr">
        <is>
          <t>Medium</t>
        </is>
      </c>
      <c r="H8" s="2" t="inlineStr">
        <is>
          <t>Review safety stock and reorder points</t>
        </is>
      </c>
    </row>
    <row r="9">
      <c r="A9" s="2" t="inlineStr">
        <is>
          <t>O06</t>
        </is>
      </c>
      <c r="B9" s="2" t="inlineStr">
        <is>
          <t>Slow-moving inventory reduction</t>
        </is>
      </c>
      <c r="C9" s="2" t="inlineStr">
        <is>
          <t>Inventory</t>
        </is>
      </c>
      <c r="D9" s="5" t="n">
        <v>6</v>
      </c>
      <c r="E9" s="2" t="inlineStr">
        <is>
          <t>Medium</t>
        </is>
      </c>
      <c r="F9" s="2" t="inlineStr">
        <is>
          <t>0–6 months</t>
        </is>
      </c>
      <c r="G9" s="2" t="inlineStr">
        <is>
          <t>Medium</t>
        </is>
      </c>
      <c r="H9" s="2" t="inlineStr">
        <is>
          <t>SKU-level aging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Source &amp; Assumption Register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ID</t>
        </is>
      </c>
      <c r="B3" s="4" t="inlineStr">
        <is>
          <t>Source / Basis</t>
        </is>
      </c>
      <c r="C3" s="4" t="inlineStr">
        <is>
          <t>Use</t>
        </is>
      </c>
      <c r="D3" s="4" t="inlineStr">
        <is>
          <t>Status</t>
        </is>
      </c>
      <c r="E3" s="2" t="n"/>
      <c r="F3" s="2" t="n"/>
      <c r="G3" s="2" t="n"/>
      <c r="H3" s="2" t="n"/>
    </row>
    <row r="4">
      <c r="A4" s="10" t="inlineStr">
        <is>
          <t>A01</t>
        </is>
      </c>
      <c r="B4" s="10" t="inlineStr">
        <is>
          <t>Synthetic transaction-level case data</t>
        </is>
      </c>
      <c r="C4" s="10" t="inlineStr">
        <is>
          <t>All baseline calculations</t>
        </is>
      </c>
      <c r="D4" s="10" t="inlineStr">
        <is>
          <t>Synthetic</t>
        </is>
      </c>
      <c r="E4" s="2" t="n"/>
      <c r="F4" s="2" t="n"/>
      <c r="G4" s="2" t="n"/>
      <c r="H4" s="2" t="n"/>
    </row>
    <row r="5">
      <c r="A5" s="2" t="inlineStr">
        <is>
          <t>A02</t>
        </is>
      </c>
      <c r="B5" s="2" t="inlineStr">
        <is>
          <t>Industry procurement / logistics benchmarking</t>
        </is>
      </c>
      <c r="C5" s="2" t="inlineStr">
        <is>
          <t>Future validation of savings</t>
        </is>
      </c>
      <c r="D5" s="2" t="inlineStr">
        <is>
          <t>To be researched</t>
        </is>
      </c>
      <c r="E5" s="2" t="n"/>
      <c r="F5" s="2" t="n"/>
      <c r="G5" s="2" t="n"/>
      <c r="H5" s="2" t="n"/>
    </row>
    <row r="6">
      <c r="A6" s="2" t="inlineStr">
        <is>
          <t>A03</t>
        </is>
      </c>
      <c r="B6" s="2" t="inlineStr">
        <is>
          <t>Supplier quotations / RFQ results</t>
        </is>
      </c>
      <c r="C6" s="2" t="inlineStr">
        <is>
          <t>Future price validation</t>
        </is>
      </c>
      <c r="D6" s="2" t="inlineStr">
        <is>
          <t>To be researched</t>
        </is>
      </c>
      <c r="E6" s="2" t="n"/>
      <c r="F6" s="2" t="n"/>
      <c r="G6" s="2" t="n"/>
      <c r="H6" s="2" t="n"/>
    </row>
    <row r="7">
      <c r="A7" s="2" t="inlineStr">
        <is>
          <t>A04</t>
        </is>
      </c>
      <c r="B7" s="2" t="inlineStr">
        <is>
          <t>Freight tenders / lane benchmarks</t>
        </is>
      </c>
      <c r="C7" s="2" t="inlineStr">
        <is>
          <t>Future freight validation</t>
        </is>
      </c>
      <c r="D7" s="2" t="inlineStr">
        <is>
          <t>To be researched</t>
        </is>
      </c>
      <c r="E7" s="2" t="n"/>
      <c r="F7" s="2" t="n"/>
      <c r="G7" s="2" t="n"/>
      <c r="H7" s="2" t="n"/>
    </row>
    <row r="8">
      <c r="A8" s="2" t="inlineStr">
        <is>
          <t>A05</t>
        </is>
      </c>
      <c r="B8" s="2" t="inlineStr">
        <is>
          <t>Inventory policy and ERP data</t>
        </is>
      </c>
      <c r="C8" s="2" t="inlineStr">
        <is>
          <t>Future working-capital validation</t>
        </is>
      </c>
      <c r="D8" s="2" t="inlineStr">
        <is>
          <t>To be researched</t>
        </is>
      </c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Check</t>
        </is>
      </c>
      <c r="B3" s="4" t="inlineStr">
        <is>
          <t>Test</t>
        </is>
      </c>
      <c r="C3" s="4" t="inlineStr">
        <is>
          <t>Status</t>
        </is>
      </c>
      <c r="D3" s="2" t="n"/>
      <c r="E3" s="2" t="n"/>
      <c r="F3" s="2" t="n"/>
      <c r="G3" s="2" t="n"/>
      <c r="H3" s="2" t="n"/>
    </row>
    <row r="4">
      <c r="A4" s="2" t="inlineStr">
        <is>
          <t>Procurement total</t>
        </is>
      </c>
      <c r="B4" s="2">
        <f>IF(ABS(Procurement_Spend!E15-SUM(Procurement_Spend!E4:E13))&lt;0.01,"PASS","CHECK")</f>
        <v/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Supplier shares</t>
        </is>
      </c>
      <c r="B5" s="2">
        <f>IF(ABS(Procurement_Spend!F15-1)&lt;0.001,"PASS","CHECK")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Category total</t>
        </is>
      </c>
      <c r="B6" s="2">
        <f>IF(ABS(Category_Summary!B14-Procurement_Spend!E15)&lt;0.01,"PASS","CHECK")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Freight total</t>
        </is>
      </c>
      <c r="B7" s="2">
        <f>IF(ABS(Logistics!E10-SUM(Logistics!E4:E9))&lt;0.01,"PASS","CHECK")</f>
        <v/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Inventory carrying cost</t>
        </is>
      </c>
      <c r="B8" s="2">
        <f>IF(ABS(Inventory!F12-SUM(Inventory!F4:F11))&lt;0.01,"PASS","CHECK")</f>
        <v/>
      </c>
      <c r="C8" s="2" t="n"/>
      <c r="D8" s="2" t="n"/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2026-09-23T16:50:10Z</dcterms:created>
  <dcterms:modified xmlns:dcterms="http://purl.org/dc/terms/" xmlns:xsi="http://www.w3.org/2001/XMLSchema-instance" xsi:type="dcterms:W3CDTF">2026-09-23T16:50:10Z</dcterms:modified>
</cp:coreProperties>
</file>