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avings_Model" sheetId="2" state="visible" r:id="rId2"/>
    <sheet xmlns:r="http://schemas.openxmlformats.org/officeDocument/2006/relationships" name="Prioritization" sheetId="3" state="visible" r:id="rId3"/>
    <sheet xmlns:r="http://schemas.openxmlformats.org/officeDocument/2006/relationships" name="Savings_Bridge" sheetId="4" state="visible" r:id="rId4"/>
    <sheet xmlns:r="http://schemas.openxmlformats.org/officeDocument/2006/relationships" name="Implementation_90_Day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Validation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366092"/>
      </patternFill>
    </fill>
    <fill>
      <patternFill patternType="solid">
        <fgColor rgb="00EBF1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03 | Supply Chain Optimization Model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Purpose</t>
        </is>
      </c>
      <c r="B3" s="2" t="inlineStr">
        <is>
          <t>Convert cost-driver findings into quantified savings initiatives and an implementation portfolio.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Core logic</t>
        </is>
      </c>
      <c r="B4" s="2" t="inlineStr">
        <is>
          <t>Baseline cost × improvement assumption = gross savings; gross savings − implementation cost = net benefit.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Priority</t>
        </is>
      </c>
      <c r="B5" s="2" t="inlineStr">
        <is>
          <t>Impact, feasibility, timing and confidence determine initiative priority.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3" t="inlineStr">
        <is>
          <t>Important</t>
        </is>
      </c>
      <c r="B6" s="2" t="inlineStr">
        <is>
          <t>Savings assumptions are synthetic and require supplier, freight and inventory validation.</t>
        </is>
      </c>
      <c r="C6" s="2" t="n"/>
      <c r="D6" s="2" t="n"/>
      <c r="E6" s="2" t="n"/>
      <c r="F6" s="2" t="n"/>
      <c r="G6" s="2" t="n"/>
      <c r="H6" s="2" t="n"/>
      <c r="I6" s="2" t="n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9" customWidth="1" min="3" max="3"/>
    <col width="16" customWidth="1" min="4" max="4"/>
    <col width="19" customWidth="1" min="5" max="5"/>
    <col width="25" customWidth="1" min="6" max="6"/>
    <col width="17" customWidth="1" min="7" max="7"/>
    <col width="26" customWidth="1" min="8" max="8"/>
    <col width="12" customWidth="1" min="9" max="9"/>
  </cols>
  <sheetData>
    <row r="1">
      <c r="A1" s="1" t="inlineStr">
        <is>
          <t>Savings Initiative Model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ID</t>
        </is>
      </c>
      <c r="B3" s="4" t="inlineStr">
        <is>
          <t>Initiative</t>
        </is>
      </c>
      <c r="C3" s="4" t="inlineStr">
        <is>
          <t>Baseline Cost ₹cr</t>
        </is>
      </c>
      <c r="D3" s="4" t="inlineStr">
        <is>
          <t>Savings Rate %</t>
        </is>
      </c>
      <c r="E3" s="4" t="inlineStr">
        <is>
          <t>Gross Savings ₹cr</t>
        </is>
      </c>
      <c r="F3" s="4" t="inlineStr">
        <is>
          <t>Implementation Cost ₹cr</t>
        </is>
      </c>
      <c r="G3" s="4" t="inlineStr">
        <is>
          <t>Net Savings ₹cr</t>
        </is>
      </c>
      <c r="H3" s="4" t="inlineStr">
        <is>
          <t>Payback Months</t>
        </is>
      </c>
      <c r="I3" s="4" t="inlineStr">
        <is>
          <t>Confidence</t>
        </is>
      </c>
    </row>
    <row r="4">
      <c r="A4" s="2" t="inlineStr">
        <is>
          <t>O01</t>
        </is>
      </c>
      <c r="B4" s="2" t="inlineStr">
        <is>
          <t>Steel supplier negotiation</t>
        </is>
      </c>
      <c r="C4" s="2" t="n">
        <v>240</v>
      </c>
      <c r="D4" s="5" t="n">
        <v>7.5</v>
      </c>
      <c r="E4" s="6">
        <f>C4*D4/100</f>
        <v/>
      </c>
      <c r="F4" s="6" t="n">
        <v>2</v>
      </c>
      <c r="G4" s="6">
        <f>E4-F4</f>
        <v/>
      </c>
      <c r="H4" s="7">
        <f>IFERROR(F4/E4*12,"n/a")</f>
        <v/>
      </c>
      <c r="I4" s="2" t="inlineStr">
        <is>
          <t>Medium</t>
        </is>
      </c>
    </row>
    <row r="5">
      <c r="A5" s="2" t="inlineStr">
        <is>
          <t>O02</t>
        </is>
      </c>
      <c r="B5" s="2" t="inlineStr">
        <is>
          <t>Electronics sourcing competition</t>
        </is>
      </c>
      <c r="C5" s="2" t="n">
        <v>174</v>
      </c>
      <c r="D5" s="5" t="n">
        <v>6.9</v>
      </c>
      <c r="E5" s="6">
        <f>C5*D5/100</f>
        <v/>
      </c>
      <c r="F5" s="6" t="n">
        <v>4</v>
      </c>
      <c r="G5" s="6">
        <f>E5-F5</f>
        <v/>
      </c>
      <c r="H5" s="7">
        <f>IFERROR(F5/E5*12,"n/a")</f>
        <v/>
      </c>
      <c r="I5" s="2" t="inlineStr">
        <is>
          <t>Low–Medium</t>
        </is>
      </c>
    </row>
    <row r="6">
      <c r="A6" s="2" t="inlineStr">
        <is>
          <t>O03</t>
        </is>
      </c>
      <c r="B6" s="2" t="inlineStr">
        <is>
          <t>Freight lane consolidation</t>
        </is>
      </c>
      <c r="C6" s="2" t="n">
        <v>40</v>
      </c>
      <c r="D6" s="5" t="n">
        <v>20</v>
      </c>
      <c r="E6" s="6">
        <f>C6*D6/100</f>
        <v/>
      </c>
      <c r="F6" s="6" t="n">
        <v>1</v>
      </c>
      <c r="G6" s="6">
        <f>E6-F6</f>
        <v/>
      </c>
      <c r="H6" s="7">
        <f>IFERROR(F6/E6*12,"n/a")</f>
        <v/>
      </c>
      <c r="I6" s="2" t="inlineStr">
        <is>
          <t>Medium</t>
        </is>
      </c>
    </row>
    <row r="7">
      <c r="A7" s="2" t="inlineStr">
        <is>
          <t>O04</t>
        </is>
      </c>
      <c r="B7" s="2" t="inlineStr">
        <is>
          <t>Mode optimization</t>
        </is>
      </c>
      <c r="C7" s="2" t="n">
        <v>40</v>
      </c>
      <c r="D7" s="5" t="n">
        <v>12.5</v>
      </c>
      <c r="E7" s="6">
        <f>C7*D7/100</f>
        <v/>
      </c>
      <c r="F7" s="6" t="n">
        <v>1.5</v>
      </c>
      <c r="G7" s="6">
        <f>E7-F7</f>
        <v/>
      </c>
      <c r="H7" s="7">
        <f>IFERROR(F7/E7*12,"n/a")</f>
        <v/>
      </c>
      <c r="I7" s="2" t="inlineStr">
        <is>
          <t>Low–Medium</t>
        </is>
      </c>
    </row>
    <row r="8">
      <c r="A8" s="2" t="inlineStr">
        <is>
          <t>O05</t>
        </is>
      </c>
      <c r="B8" s="2" t="inlineStr">
        <is>
          <t>Inventory parameter reset</t>
        </is>
      </c>
      <c r="C8" s="2" t="n">
        <v>490</v>
      </c>
      <c r="D8" s="5" t="n">
        <v>8</v>
      </c>
      <c r="E8" s="6">
        <f>C8*D8/100</f>
        <v/>
      </c>
      <c r="F8" s="6" t="n">
        <v>2</v>
      </c>
      <c r="G8" s="6">
        <f>E8-F8</f>
        <v/>
      </c>
      <c r="H8" s="7">
        <f>IFERROR(F8/E8*12,"n/a")</f>
        <v/>
      </c>
      <c r="I8" s="2" t="inlineStr">
        <is>
          <t>Medium</t>
        </is>
      </c>
    </row>
    <row r="9">
      <c r="A9" s="2" t="inlineStr">
        <is>
          <t>O06</t>
        </is>
      </c>
      <c r="B9" s="2" t="inlineStr">
        <is>
          <t>Slow-moving inventory reduction</t>
        </is>
      </c>
      <c r="C9" s="2" t="n">
        <v>490</v>
      </c>
      <c r="D9" s="5" t="n">
        <v>4</v>
      </c>
      <c r="E9" s="6">
        <f>C9*D9/100</f>
        <v/>
      </c>
      <c r="F9" s="6" t="n">
        <v>1</v>
      </c>
      <c r="G9" s="6">
        <f>E9-F9</f>
        <v/>
      </c>
      <c r="H9" s="7">
        <f>IFERROR(F9/E9*12,"n/a")</f>
        <v/>
      </c>
      <c r="I9" s="2" t="inlineStr">
        <is>
          <t>Medium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8" t="inlineStr">
        <is>
          <t>TOTAL</t>
        </is>
      </c>
      <c r="B11" s="8" t="n"/>
      <c r="C11" s="8" t="n"/>
      <c r="D11" s="8" t="n"/>
      <c r="E11" s="8">
        <f>SUM(E4:E9)</f>
        <v/>
      </c>
      <c r="F11" s="8">
        <f>SUM(F4:F9)</f>
        <v/>
      </c>
      <c r="G11" s="8">
        <f>SUM(G4:G9)</f>
        <v/>
      </c>
      <c r="H11" s="8" t="n"/>
      <c r="I11" s="8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19" customWidth="1" min="3" max="3"/>
    <col width="18" customWidth="1" min="4" max="4"/>
    <col width="17" customWidth="1" min="5" max="5"/>
    <col width="12" customWidth="1" min="6" max="6"/>
    <col width="16" customWidth="1" min="7" max="7"/>
    <col width="30" customWidth="1" min="8" max="8"/>
    <col width="30" customWidth="1" min="9" max="9"/>
  </cols>
  <sheetData>
    <row r="1">
      <c r="A1" s="1" t="inlineStr">
        <is>
          <t>Initiative Prioritization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ID</t>
        </is>
      </c>
      <c r="B3" s="4" t="inlineStr">
        <is>
          <t>Initiative</t>
        </is>
      </c>
      <c r="C3" s="4" t="inlineStr">
        <is>
          <t>Net Savings ₹cr</t>
        </is>
      </c>
      <c r="D3" s="4" t="inlineStr">
        <is>
          <t>Impact Score 1-5</t>
        </is>
      </c>
      <c r="E3" s="4" t="inlineStr">
        <is>
          <t>Feasibility 1-5</t>
        </is>
      </c>
      <c r="F3" s="4" t="inlineStr">
        <is>
          <t>Speed 1-5</t>
        </is>
      </c>
      <c r="G3" s="4" t="inlineStr">
        <is>
          <t>Confidence 1-5</t>
        </is>
      </c>
      <c r="H3" s="4" t="inlineStr">
        <is>
          <t>Priority Score</t>
        </is>
      </c>
      <c r="I3" s="4" t="inlineStr">
        <is>
          <t>Priority</t>
        </is>
      </c>
    </row>
    <row r="4">
      <c r="A4" s="2" t="inlineStr">
        <is>
          <t>O01</t>
        </is>
      </c>
      <c r="B4" s="2" t="inlineStr">
        <is>
          <t>Steel supplier negotiation</t>
        </is>
      </c>
      <c r="C4" s="6">
        <f>Savings_Model!G4</f>
        <v/>
      </c>
      <c r="D4" s="2" t="n">
        <v>5</v>
      </c>
      <c r="E4" s="2" t="n">
        <v>4</v>
      </c>
      <c r="F4" s="2" t="n">
        <v>5</v>
      </c>
      <c r="G4" s="2" t="n">
        <v>3</v>
      </c>
      <c r="H4" s="9">
        <f>D4*30%+E4*30%+F4*20%+G4*20%</f>
        <v/>
      </c>
      <c r="I4" s="2">
        <f>IF(H4&gt;=4.0,"Priority 1",IF(H4&gt;=3.2,"Priority 2","Priority 3"))</f>
        <v/>
      </c>
    </row>
    <row r="5">
      <c r="A5" s="2" t="inlineStr">
        <is>
          <t>O02</t>
        </is>
      </c>
      <c r="B5" s="2" t="inlineStr">
        <is>
          <t>Electronics sourcing competition</t>
        </is>
      </c>
      <c r="C5" s="6">
        <f>Savings_Model!G5</f>
        <v/>
      </c>
      <c r="D5" s="2" t="n">
        <v>4</v>
      </c>
      <c r="E5" s="2" t="n">
        <v>2</v>
      </c>
      <c r="F5" s="2" t="n">
        <v>3</v>
      </c>
      <c r="G5" s="2" t="n">
        <v>2</v>
      </c>
      <c r="H5" s="9">
        <f>D5*30%+E5*30%+F5*20%+G5*20%</f>
        <v/>
      </c>
      <c r="I5" s="2">
        <f>IF(H5&gt;=4.0,"Priority 1",IF(H5&gt;=3.2,"Priority 2","Priority 3"))</f>
        <v/>
      </c>
    </row>
    <row r="6">
      <c r="A6" s="2" t="inlineStr">
        <is>
          <t>O03</t>
        </is>
      </c>
      <c r="B6" s="2" t="inlineStr">
        <is>
          <t>Freight lane consolidation</t>
        </is>
      </c>
      <c r="C6" s="6">
        <f>Savings_Model!G6</f>
        <v/>
      </c>
      <c r="D6" s="2" t="n">
        <v>3</v>
      </c>
      <c r="E6" s="2" t="n">
        <v>4</v>
      </c>
      <c r="F6" s="2" t="n">
        <v>5</v>
      </c>
      <c r="G6" s="2" t="n">
        <v>3</v>
      </c>
      <c r="H6" s="9">
        <f>D6*30%+E6*30%+F6*20%+G6*20%</f>
        <v/>
      </c>
      <c r="I6" s="2">
        <f>IF(H6&gt;=4.0,"Priority 1",IF(H6&gt;=3.2,"Priority 2","Priority 3"))</f>
        <v/>
      </c>
    </row>
    <row r="7">
      <c r="A7" s="2" t="inlineStr">
        <is>
          <t>O04</t>
        </is>
      </c>
      <c r="B7" s="2" t="inlineStr">
        <is>
          <t>Mode optimization</t>
        </is>
      </c>
      <c r="C7" s="6">
        <f>Savings_Model!G7</f>
        <v/>
      </c>
      <c r="D7" s="2" t="n">
        <v>3</v>
      </c>
      <c r="E7" s="2" t="n">
        <v>3</v>
      </c>
      <c r="F7" s="2" t="n">
        <v>3</v>
      </c>
      <c r="G7" s="2" t="n">
        <v>2</v>
      </c>
      <c r="H7" s="9">
        <f>D7*30%+E7*30%+F7*20%+G7*20%</f>
        <v/>
      </c>
      <c r="I7" s="2">
        <f>IF(H7&gt;=4.0,"Priority 1",IF(H7&gt;=3.2,"Priority 2","Priority 3"))</f>
        <v/>
      </c>
    </row>
    <row r="8">
      <c r="A8" s="2" t="inlineStr">
        <is>
          <t>O05</t>
        </is>
      </c>
      <c r="B8" s="2" t="inlineStr">
        <is>
          <t>Inventory parameter reset</t>
        </is>
      </c>
      <c r="C8" s="6">
        <f>Savings_Model!G8</f>
        <v/>
      </c>
      <c r="D8" s="2" t="n">
        <v>5</v>
      </c>
      <c r="E8" s="2" t="n">
        <v>4</v>
      </c>
      <c r="F8" s="2" t="n">
        <v>4</v>
      </c>
      <c r="G8" s="2" t="n">
        <v>3</v>
      </c>
      <c r="H8" s="9">
        <f>D8*30%+E8*30%+F8*20%+G8*20%</f>
        <v/>
      </c>
      <c r="I8" s="2">
        <f>IF(H8&gt;=4.0,"Priority 1",IF(H8&gt;=3.2,"Priority 2","Priority 3"))</f>
        <v/>
      </c>
    </row>
    <row r="9">
      <c r="A9" s="2" t="inlineStr">
        <is>
          <t>O06</t>
        </is>
      </c>
      <c r="B9" s="2" t="inlineStr">
        <is>
          <t>Slow-moving inventory reduction</t>
        </is>
      </c>
      <c r="C9" s="6">
        <f>Savings_Model!G9</f>
        <v/>
      </c>
      <c r="D9" s="2" t="n">
        <v>4</v>
      </c>
      <c r="E9" s="2" t="n">
        <v>4</v>
      </c>
      <c r="F9" s="2" t="n">
        <v>4</v>
      </c>
      <c r="G9" s="2" t="n">
        <v>3</v>
      </c>
      <c r="H9" s="9">
        <f>D9*30%+E9*30%+F9*20%+G9*20%</f>
        <v/>
      </c>
      <c r="I9" s="2">
        <f>IF(H9&gt;=4.0,"Priority 1",IF(H9&gt;=3.2,"Priority 2","Priority 3"))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Savings Bridge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Metric</t>
        </is>
      </c>
      <c r="B3" s="4" t="inlineStr">
        <is>
          <t>Value ₹cr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Baseline modeled opportunity</t>
        </is>
      </c>
      <c r="B4" s="2">
        <f>SUM(Savings_Model!E4:E9)</f>
        <v/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Implementation cost</t>
        </is>
      </c>
      <c r="B5" s="2">
        <f>SUM(Savings_Model!F4:F9)</f>
        <v/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Net annual savings</t>
        </is>
      </c>
      <c r="B6" s="2">
        <f>SUM(Savings_Model!G4:G9)</f>
        <v/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Gross savings % of baseline procurement + logistics + inventory pool</t>
        </is>
      </c>
      <c r="B7" s="5">
        <f>B4/(240+174+40+490)</f>
        <v/>
      </c>
      <c r="C7" s="2" t="n"/>
      <c r="D7" s="2" t="n"/>
      <c r="E7" s="2" t="n"/>
      <c r="F7" s="2" t="n"/>
      <c r="G7" s="2" t="n"/>
      <c r="H7" s="2" t="n"/>
      <c r="I7" s="2" t="n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34" customWidth="1" min="3" max="3"/>
    <col width="27" customWidth="1" min="4" max="4"/>
    <col width="27" customWidth="1" min="5" max="5"/>
    <col width="2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90-Day Savings Plan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Workstream</t>
        </is>
      </c>
      <c r="B3" s="4" t="inlineStr">
        <is>
          <t>Days 0–30</t>
        </is>
      </c>
      <c r="C3" s="4" t="inlineStr">
        <is>
          <t>Days 31–60</t>
        </is>
      </c>
      <c r="D3" s="4" t="inlineStr">
        <is>
          <t>Days 61–90</t>
        </is>
      </c>
      <c r="E3" s="4" t="inlineStr">
        <is>
          <t>Owner</t>
        </is>
      </c>
      <c r="F3" s="4" t="inlineStr">
        <is>
          <t>KPI</t>
        </is>
      </c>
      <c r="G3" s="2" t="n"/>
      <c r="H3" s="2" t="n"/>
      <c r="I3" s="2" t="n"/>
    </row>
    <row r="4">
      <c r="A4" s="2" t="inlineStr">
        <is>
          <t>Steel sourcing</t>
        </is>
      </c>
      <c r="B4" s="2" t="inlineStr">
        <is>
          <t>Benchmark price; supplier RFQ</t>
        </is>
      </c>
      <c r="C4" s="2" t="inlineStr">
        <is>
          <t>Negotiate / dual-source</t>
        </is>
      </c>
      <c r="D4" s="2" t="inlineStr">
        <is>
          <t>Award and implement</t>
        </is>
      </c>
      <c r="E4" s="2" t="inlineStr">
        <is>
          <t>Procurement</t>
        </is>
      </c>
      <c r="F4" s="2" t="inlineStr">
        <is>
          <t>₹/ton vs baseline</t>
        </is>
      </c>
      <c r="G4" s="2" t="n"/>
      <c r="H4" s="2" t="n"/>
      <c r="I4" s="2" t="n"/>
    </row>
    <row r="5">
      <c r="A5" s="2" t="inlineStr">
        <is>
          <t>Freight</t>
        </is>
      </c>
      <c r="B5" s="2" t="inlineStr">
        <is>
          <t>Validate lanes and rates</t>
        </is>
      </c>
      <c r="C5" s="2" t="inlineStr">
        <is>
          <t>Tender priority lanes</t>
        </is>
      </c>
      <c r="D5" s="2" t="inlineStr">
        <is>
          <t>Award carriers</t>
        </is>
      </c>
      <c r="E5" s="2" t="inlineStr">
        <is>
          <t>Logistics</t>
        </is>
      </c>
      <c r="F5" s="2" t="inlineStr">
        <is>
          <t>₹/shipment</t>
        </is>
      </c>
      <c r="G5" s="2" t="n"/>
      <c r="H5" s="2" t="n"/>
      <c r="I5" s="2" t="n"/>
    </row>
    <row r="6">
      <c r="A6" s="2" t="inlineStr">
        <is>
          <t>Inventory</t>
        </is>
      </c>
      <c r="B6" s="2" t="inlineStr">
        <is>
          <t>SKU aging + policy review</t>
        </is>
      </c>
      <c r="C6" s="2" t="inlineStr">
        <is>
          <t>Reset parameters</t>
        </is>
      </c>
      <c r="D6" s="2" t="inlineStr">
        <is>
          <t>Track service + inventory</t>
        </is>
      </c>
      <c r="E6" s="2" t="inlineStr">
        <is>
          <t>Planning</t>
        </is>
      </c>
      <c r="F6" s="2" t="inlineStr">
        <is>
          <t>Turns / inventory ₹</t>
        </is>
      </c>
      <c r="G6" s="2" t="n"/>
      <c r="H6" s="2" t="n"/>
      <c r="I6" s="2" t="n"/>
    </row>
    <row r="7">
      <c r="A7" s="2" t="inlineStr">
        <is>
          <t>Electronics</t>
        </is>
      </c>
      <c r="B7" s="2" t="inlineStr">
        <is>
          <t>Specification review</t>
        </is>
      </c>
      <c r="C7" s="2" t="inlineStr">
        <is>
          <t>Alternate supplier qualification</t>
        </is>
      </c>
      <c r="D7" s="2" t="inlineStr">
        <is>
          <t>RFQ / nomination</t>
        </is>
      </c>
      <c r="E7" s="2" t="inlineStr">
        <is>
          <t>Procurement + Engineering</t>
        </is>
      </c>
      <c r="F7" s="2" t="inlineStr">
        <is>
          <t>Unit price / quality</t>
        </is>
      </c>
      <c r="G7" s="2" t="n"/>
      <c r="H7" s="2" t="n"/>
      <c r="I7" s="2" t="n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Savings Sensitivity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Net annual savings sensitivity to average savings rate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Rate</t>
        </is>
      </c>
      <c r="B4" s="3" t="inlineStr">
        <is>
          <t>Net Savings ₹cr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10" t="n">
        <v>0.04</v>
      </c>
      <c r="B5" s="6">
        <f>(0.04)*(240+174+40+490)-SUM(Savings_Model!F4:F9)</f>
        <v/>
      </c>
      <c r="C5" s="2" t="n"/>
      <c r="D5" s="2" t="n"/>
      <c r="E5" s="2" t="n"/>
      <c r="F5" s="2" t="n"/>
      <c r="G5" s="2" t="n"/>
      <c r="H5" s="2" t="n"/>
      <c r="I5" s="2" t="n"/>
    </row>
    <row r="6">
      <c r="A6" s="10" t="n">
        <v>0.05</v>
      </c>
      <c r="B6" s="6">
        <f>(0.05)*(240+174+40+490)-SUM(Savings_Model!F4:F9)</f>
        <v/>
      </c>
      <c r="C6" s="2" t="n"/>
      <c r="D6" s="2" t="n"/>
      <c r="E6" s="2" t="n"/>
      <c r="F6" s="2" t="n"/>
      <c r="G6" s="2" t="n"/>
      <c r="H6" s="2" t="n"/>
      <c r="I6" s="2" t="n"/>
    </row>
    <row r="7">
      <c r="A7" s="10" t="n">
        <v>0.06</v>
      </c>
      <c r="B7" s="6">
        <f>(0.06)*(240+174+40+490)-SUM(Savings_Model!F4:F9)</f>
        <v/>
      </c>
      <c r="C7" s="2" t="n"/>
      <c r="D7" s="2" t="n"/>
      <c r="E7" s="2" t="n"/>
      <c r="F7" s="2" t="n"/>
      <c r="G7" s="2" t="n"/>
      <c r="H7" s="2" t="n"/>
      <c r="I7" s="2" t="n"/>
    </row>
    <row r="8">
      <c r="A8" s="10" t="n">
        <v>0.07000000000000001</v>
      </c>
      <c r="B8" s="6">
        <f>(0.07)*(240+174+40+490)-SUM(Savings_Model!F4:F9)</f>
        <v/>
      </c>
      <c r="C8" s="2" t="n"/>
      <c r="D8" s="2" t="n"/>
      <c r="E8" s="2" t="n"/>
      <c r="F8" s="2" t="n"/>
      <c r="G8" s="2" t="n"/>
      <c r="H8" s="2" t="n"/>
      <c r="I8" s="2" t="n"/>
    </row>
    <row r="9">
      <c r="A9" s="10" t="n">
        <v>0.08</v>
      </c>
      <c r="B9" s="6">
        <f>(0.08)*(240+174+40+490)-SUM(Savings_Model!F4:F9)</f>
        <v/>
      </c>
      <c r="C9" s="2" t="n"/>
      <c r="D9" s="2" t="n"/>
      <c r="E9" s="2" t="n"/>
      <c r="F9" s="2" t="n"/>
      <c r="G9" s="2" t="n"/>
      <c r="H9" s="2" t="n"/>
      <c r="I9" s="2" t="n"/>
    </row>
    <row r="10">
      <c r="A10" s="10" t="n">
        <v>0.09</v>
      </c>
      <c r="B10" s="6">
        <f>(0.09)*(240+174+40+490)-SUM(Savings_Model!F4:F9)</f>
        <v/>
      </c>
      <c r="C10" s="2" t="n"/>
      <c r="D10" s="2" t="n"/>
      <c r="E10" s="2" t="n"/>
      <c r="F10" s="2" t="n"/>
      <c r="G10" s="2" t="n"/>
      <c r="H10" s="2" t="n"/>
      <c r="I10" s="2" t="n"/>
    </row>
    <row r="11">
      <c r="A11" s="10" t="n">
        <v>0.1</v>
      </c>
      <c r="B11" s="6">
        <f>(0.1)*(240+174+40+490)-SUM(Savings_Model!F4:F9)</f>
        <v/>
      </c>
      <c r="C11" s="2" t="n"/>
      <c r="D11" s="2" t="n"/>
      <c r="E11" s="2" t="n"/>
      <c r="F11" s="2" t="n"/>
      <c r="G11" s="2" t="n"/>
      <c r="H11" s="2" t="n"/>
      <c r="I11" s="2" t="n"/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Model Checks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Check</t>
        </is>
      </c>
      <c r="B3" s="4" t="inlineStr">
        <is>
          <t>Test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Gross savings formula</t>
        </is>
      </c>
      <c r="B4" s="2">
        <f>IF(ABS(Savings_Model!E4-Savings_Model!C4*Savings_Model!D4/100)&lt;0.01,"PASS","CHECK")</f>
        <v/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Net savings formula</t>
        </is>
      </c>
      <c r="B5" s="2">
        <f>IF(ABS(Savings_Model!G4-(Savings_Model!E4-Savings_Model!F4))&lt;0.01,"PASS","CHECK")</f>
        <v/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Priority score formula</t>
        </is>
      </c>
      <c r="B6" s="2">
        <f>IF(Prioritization!H4&gt;0,"PASS","CHECK")</f>
        <v/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Implementation plan</t>
        </is>
      </c>
      <c r="B7" s="2">
        <f>IF(COUNTA(Implementation_90_Day!A4:A7)=4,"PASS","CHECK")</f>
        <v/>
      </c>
      <c r="C7" s="2" t="n"/>
      <c r="D7" s="2" t="n"/>
      <c r="E7" s="2" t="n"/>
      <c r="F7" s="2" t="n"/>
      <c r="G7" s="2" t="n"/>
      <c r="H7" s="2" t="n"/>
      <c r="I7" s="2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2026-09-23T16:50:31Z</dcterms:created>
  <dcterms:modified xmlns:dcterms="http://purl.org/dc/terms/" xmlns:xsi="http://www.w3.org/2001/XMLSchema-instance" xsi:type="dcterms:W3CDTF">2026-09-23T16:50:31Z</dcterms:modified>
</cp:coreProperties>
</file>